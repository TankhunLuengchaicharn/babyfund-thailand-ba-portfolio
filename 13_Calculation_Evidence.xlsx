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s\Babyfund Thailand\_bf_work\audit_2026_10_12\corrected\"/>
    </mc:Choice>
  </mc:AlternateContent>
  <xr:revisionPtr revIDLastSave="0" documentId="13_ncr:1_{9AA29214-5CF5-4F07-8096-4F1892B3D7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oled goal scenarios" sheetId="1" r:id="rId1"/>
    <sheet name="Revenue hypotheses" sheetId="2" r:id="rId2"/>
  </sheets>
  <definedNames>
    <definedName name="_xlnm.Print_Area" localSheetId="0">'Pooled goal scenarios'!$A$1:$O$45</definedName>
    <definedName name="_xlnm.Print_Area" localSheetId="1">'Revenue hypotheses'!$A$1:$F$45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E18" i="2"/>
  <c r="D18" i="2"/>
  <c r="E17" i="2"/>
  <c r="D17" i="2"/>
  <c r="E16" i="2"/>
  <c r="D16" i="2"/>
  <c r="B21" i="2" s="1"/>
  <c r="C19" i="1"/>
  <c r="C18" i="1"/>
  <c r="O18" i="1" s="1"/>
  <c r="D18" i="1" s="1"/>
  <c r="C17" i="1"/>
  <c r="O17" i="1" s="1"/>
  <c r="D17" i="1" s="1"/>
  <c r="B3" i="1"/>
  <c r="E17" i="1" l="1"/>
  <c r="F17" i="1" s="1"/>
  <c r="G17" i="1" s="1"/>
  <c r="E18" i="1"/>
  <c r="F18" i="1" s="1"/>
  <c r="G18" i="1" s="1"/>
  <c r="B22" i="2"/>
  <c r="B25" i="2" s="1"/>
  <c r="O19" i="1"/>
  <c r="N19" i="1" s="1"/>
  <c r="D19" i="1"/>
  <c r="N17" i="1"/>
  <c r="N18" i="1"/>
  <c r="B24" i="2"/>
  <c r="H18" i="1" l="1"/>
  <c r="I18" i="1"/>
  <c r="J18" i="1" s="1"/>
  <c r="H17" i="1"/>
  <c r="I17" i="1" s="1"/>
  <c r="J17" i="1" s="1"/>
  <c r="E19" i="1"/>
  <c r="F19" i="1"/>
  <c r="G19" i="1" s="1"/>
  <c r="K17" i="1" l="1"/>
  <c r="L17" i="1" s="1"/>
  <c r="H19" i="1"/>
  <c r="I19" i="1"/>
  <c r="J19" i="1" s="1"/>
  <c r="K18" i="1"/>
  <c r="L18" i="1" s="1"/>
  <c r="M18" i="1"/>
  <c r="K19" i="1" l="1"/>
  <c r="L19" i="1" s="1"/>
  <c r="M17" i="1"/>
  <c r="M19" i="1" l="1"/>
</calcChain>
</file>

<file path=xl/sharedStrings.xml><?xml version="1.0" encoding="utf-8"?>
<sst xmlns="http://schemas.openxmlformats.org/spreadsheetml/2006/main" count="99" uniqueCount="78">
  <si>
    <t>BabyFund  Pooled goal scenario  simulated</t>
  </si>
  <si>
    <t>One THB portfolio; no money is reserved per goal. All use events are hypothetical after age-20 handover.</t>
  </si>
  <si>
    <t>Example input check</t>
  </si>
  <si>
    <t>Editable input</t>
  </si>
  <si>
    <t>Illustrative value</t>
  </si>
  <si>
    <t>Current pooled value THB</t>
  </si>
  <si>
    <t>Monthly contribution THB</t>
  </si>
  <si>
    <t>Final contribution month</t>
  </si>
  <si>
    <t>Goal 1 target THB</t>
  </si>
  <si>
    <t>Goal 2 target THB</t>
  </si>
  <si>
    <t>Goal 3 target THB</t>
  </si>
  <si>
    <t>Goal 1 due month</t>
  </si>
  <si>
    <t>Goal 2 due month</t>
  </si>
  <si>
    <t>Goal 3 due month</t>
  </si>
  <si>
    <t>Month 0 = child age 10; months 120/132/180 = ages 20/21/25. Contribution occurs at each month end through month 120 only.</t>
  </si>
  <si>
    <t>Rates are constant nominal THB sensitivity inputs, not S&amp;P 500 forecasts. Fees, tax, FX conversion and inflation omitted.</t>
  </si>
  <si>
    <t>Scenario</t>
  </si>
  <si>
    <t>Annual rate</t>
  </si>
  <si>
    <t>Monthly rate</t>
  </si>
  <si>
    <t>Before goal 1</t>
  </si>
  <si>
    <t>Use goal 1</t>
  </si>
  <si>
    <t>After goal 1</t>
  </si>
  <si>
    <t>Before goal 2</t>
  </si>
  <si>
    <t>Use goal 2</t>
  </si>
  <si>
    <t>After goal 2</t>
  </si>
  <si>
    <t>Before goal 3</t>
  </si>
  <si>
    <t>Use goal 3</t>
  </si>
  <si>
    <t>Goal 3 short</t>
  </si>
  <si>
    <t>After goal 3</t>
  </si>
  <si>
    <t>Required monthly THB</t>
  </si>
  <si>
    <t>120-month annuity factor</t>
  </si>
  <si>
    <t>Bear sensitivity</t>
  </si>
  <si>
    <t>Base sensitivity</t>
  </si>
  <si>
    <t>Bull sensitivity</t>
  </si>
  <si>
    <t>Reading rule: each goal shows value before a hypothetical use, amount used (capped at available funds), shortfall, and residual value.</t>
  </si>
  <si>
    <t>Equal due months: guardian chooses display priority; changing order changes which goal is shown as short. No automatic sale or legal transfer is modeled.</t>
  </si>
  <si>
    <t>B3 flags negative inputs, due months before the final contribution, and unsorted dates. This is a fixed three-goal test example, not an app validator.</t>
  </si>
  <si>
    <t>Required monthly amount is rounded UP to whole THB and is the minimum to cover all three targets under each constant rate assumption.</t>
  </si>
  <si>
    <t>BabyFund  Revenue hypotheses  simulated</t>
  </si>
  <si>
    <t>All amounts are illustrative annual THB; no customers, contracts, fee rights or actual revenue exist.</t>
  </si>
  <si>
    <t>Active child portfolios</t>
  </si>
  <si>
    <t>Paid conversion</t>
  </si>
  <si>
    <t>Monthly subscription THB</t>
  </si>
  <si>
    <t>Partner invested AUM THB</t>
  </si>
  <si>
    <t>Partner management rate</t>
  </si>
  <si>
    <t>BabyFund fee share if permitted</t>
  </si>
  <si>
    <t>Hypothetical license clients</t>
  </si>
  <si>
    <t>Annual license price THB</t>
  </si>
  <si>
    <t>Annual operating cost THB</t>
  </si>
  <si>
    <t>Stream</t>
  </si>
  <si>
    <t>Who might pay</t>
  </si>
  <si>
    <t>Economic formula</t>
  </si>
  <si>
    <t>Hypothetical gross</t>
  </si>
  <si>
    <t>BabyFund actual now</t>
  </si>
  <si>
    <t>Gate before claiming revenue</t>
  </si>
  <si>
    <t>Subscription</t>
  </si>
  <si>
    <t>Guardian</t>
  </si>
  <si>
    <t>Paid portfolios × price × 12</t>
  </si>
  <si>
    <t>Test paid demand and subscription terms</t>
  </si>
  <si>
    <t>Management fee / fee share</t>
  </si>
  <si>
    <t>Investor pays licensed manager</t>
  </si>
  <si>
    <t>AUM × partner fee × agreed share</t>
  </si>
  <si>
    <t>Licensed role, fee owner, contract, disclosure and no double charge</t>
  </si>
  <si>
    <t>Licensing</t>
  </si>
  <si>
    <t>Signed B2B partner</t>
  </si>
  <si>
    <t>Contracted clients × annual fee</t>
  </si>
  <si>
    <t>Signed license scope, payer, price and service obligations</t>
  </si>
  <si>
    <t>Comparison</t>
  </si>
  <si>
    <t>Annual THB</t>
  </si>
  <si>
    <t>Subscription-only illustration</t>
  </si>
  <si>
    <t>All three if every gate passes</t>
  </si>
  <si>
    <t>Illustrative annual operating cost</t>
  </si>
  <si>
    <t>Gap: subscription only</t>
  </si>
  <si>
    <t>Gap: all three enabled</t>
  </si>
  <si>
    <t>The ฿1.5m operating cost is synthetic and distinct from the earlier ฿18.63m hypothetical Phase 1 delivery budget.</t>
  </si>
  <si>
    <t>Management fee is shown only as partner-level economics or a contracted share; BabyFund is not assumed to manage investments.</t>
  </si>
  <si>
    <t>The hypothetical all-three total is NOT current BabyFund revenue. Actual revenue remains zero in this simulated case.</t>
  </si>
  <si>
    <t>Operating cost excludes taxes, payment/FX fees, customer acquisition evidence, partner integration quotes and inflation.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</si>
</sst>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6">
    <font>
      <sz val="11"/>
      <name val="Carlito"/>
    </font>
    <font>
      <sz val="11"/>
      <color rgb="FF233148"/>
      <name val="Aptos"/>
    </font>
    <font>
      <b/>
      <sz val="16"/>
      <color rgb="FFFFFFFF"/>
      <name val="Arial"/>
    </font>
    <font>
      <sz val="11"/>
      <color rgb="FF233148"/>
      <name val="Arial"/>
    </font>
    <font>
      <b/>
      <sz val="11"/>
      <color rgb="FF203A67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A67"/>
      </patternFill>
    </fill>
    <fill>
      <patternFill patternType="solid">
        <fgColor rgb="FFFFF3D6"/>
      </patternFill>
    </fill>
    <fill>
      <patternFill patternType="solid">
        <fgColor rgb="FF315F9F"/>
      </patternFill>
    </fill>
  </fills>
  <borders count="2">
    <border>
      <left/>
      <right/>
      <top/>
      <bottom/>
      <diagonal/>
    </border>
    <border>
      <left style="thin">
        <color rgb="FFD7E1EF"/>
      </left>
      <right style="thin">
        <color rgb="FFD7E1EF"/>
      </right>
      <top style="thin">
        <color rgb="FFD7E1EF"/>
      </top>
      <bottom style="thin">
        <color rgb="FFD7E1E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1" xfId="0" applyFont="1" applyFill="1" applyBorder="1" applyAlignment="1">
      <alignment wrapText="1"/>
    </xf>
    <xf numFmtId="0" fontId="3" fillId="0" borderId="1" xfId="0" applyFont="1" applyBorder="1"/>
    <xf numFmtId="3" fontId="3" fillId="3" borderId="1" xfId="0" applyNumberFormat="1" applyFont="1" applyFill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9" fontId="3" fillId="3" borderId="1" xfId="0" applyNumberFormat="1" applyFont="1" applyFill="1" applyBorder="1"/>
    <xf numFmtId="10" fontId="3" fillId="3" borderId="1" xfId="0" applyNumberFormat="1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workbookViewId="0">
      <selection sqref="A1:O1"/>
    </sheetView>
  </sheetViews>
  <sheetFormatPr defaultRowHeight="13.8"/>
  <cols>
    <col min="1" max="1" width="29" customWidth="1"/>
    <col min="2" max="2" width="19" customWidth="1"/>
    <col min="3" max="16" width="18" customWidth="1"/>
  </cols>
  <sheetData>
    <row r="1" spans="1:16" ht="30.45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2" t="s">
        <v>0</v>
      </c>
      <c r="P1" s="1"/>
    </row>
    <row r="2" spans="1:16" ht="14.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4.4">
      <c r="A3" s="2" t="s">
        <v>2</v>
      </c>
      <c r="B3" s="3" t="str">
        <f>IF(AND(B5&gt;=0,B6&gt;=0,B7&gt;0,B8&gt;=0,B9&gt;=0,B10&gt;=0,B11&gt;=B7,B12&gt;=B11,B13&gt;=B12),"VALID FIXED EXAMPLE","INVALID INPUTS")</f>
        <v>VALID FIXED EXAMPLE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</row>
    <row r="4" spans="1:16" ht="14.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</row>
    <row r="5" spans="1:16" ht="14.4">
      <c r="A5" s="5" t="s">
        <v>5</v>
      </c>
      <c r="B5" s="6">
        <v>100000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14.4">
      <c r="A6" s="5" t="s">
        <v>6</v>
      </c>
      <c r="B6" s="6">
        <v>500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</row>
    <row r="7" spans="1:16" ht="14.4">
      <c r="A7" s="5" t="s">
        <v>7</v>
      </c>
      <c r="B7" s="6">
        <v>120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1:16" ht="14.4">
      <c r="A8" s="5" t="s">
        <v>8</v>
      </c>
      <c r="B8" s="6">
        <v>20000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</row>
    <row r="9" spans="1:16" ht="14.4">
      <c r="A9" s="5" t="s">
        <v>9</v>
      </c>
      <c r="B9" s="6">
        <v>50000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</row>
    <row r="10" spans="1:16" ht="14.4">
      <c r="A10" s="5" t="s">
        <v>10</v>
      </c>
      <c r="B10" s="6">
        <v>100000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</row>
    <row r="11" spans="1:16" ht="14.4">
      <c r="A11" s="5" t="s">
        <v>11</v>
      </c>
      <c r="B11" s="6">
        <v>120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</row>
    <row r="12" spans="1:16" ht="14.4">
      <c r="A12" s="5" t="s">
        <v>12</v>
      </c>
      <c r="B12" s="6">
        <v>132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</row>
    <row r="13" spans="1:16" ht="14.4">
      <c r="A13" s="5" t="s">
        <v>13</v>
      </c>
      <c r="B13" s="6">
        <v>180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</row>
    <row r="14" spans="1:16" ht="14.4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</row>
    <row r="15" spans="1:16" ht="14.4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</row>
    <row r="16" spans="1:16" ht="30.45" customHeight="1">
      <c r="A16" s="4" t="s">
        <v>16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25</v>
      </c>
      <c r="K16" s="4" t="s">
        <v>26</v>
      </c>
      <c r="L16" s="4" t="s">
        <v>27</v>
      </c>
      <c r="M16" s="4" t="s">
        <v>28</v>
      </c>
      <c r="N16" s="4" t="s">
        <v>29</v>
      </c>
      <c r="O16" s="4" t="s">
        <v>30</v>
      </c>
      <c r="P16" s="1"/>
    </row>
    <row r="17" spans="1:16" ht="14.4">
      <c r="A17" s="5" t="s">
        <v>31</v>
      </c>
      <c r="B17" s="7">
        <v>-0.02</v>
      </c>
      <c r="C17" s="7">
        <f>B17/12</f>
        <v>-1.6666666666666668E-3</v>
      </c>
      <c r="D17" s="8">
        <f>$B$5*(1+C17)^$B$11+$B$6*O17*(1+C17)^($B$11-$B$7)</f>
        <v>136281.16849163457</v>
      </c>
      <c r="E17" s="8">
        <f>MIN($B$8,MAX(0,D17))</f>
        <v>20000</v>
      </c>
      <c r="F17" s="8">
        <f>MAX(0,D17-E17)</f>
        <v>116281.16849163457</v>
      </c>
      <c r="G17" s="8">
        <f>F17*(1+C17)^($B$12-$B$11)</f>
        <v>113976.74534444926</v>
      </c>
      <c r="H17" s="8">
        <f>MIN($B$9,MAX(0,G17))</f>
        <v>50000</v>
      </c>
      <c r="I17" s="8">
        <f>MAX(0,G17-H17)</f>
        <v>63976.745344449257</v>
      </c>
      <c r="J17" s="8">
        <f>I17*(1+C17)^($B$13-$B$12)</f>
        <v>59054.03796883679</v>
      </c>
      <c r="K17" s="8">
        <f>MIN($B$10,MAX(0,J17))</f>
        <v>59054.03796883679</v>
      </c>
      <c r="L17" s="8">
        <f>MAX(0,$B$10-K17)</f>
        <v>40945.96203116321</v>
      </c>
      <c r="M17" s="8">
        <f>MAX(0,J17-K17)</f>
        <v>0</v>
      </c>
      <c r="N17" s="8">
        <f>ROUNDUP(MAX(0,($B$8-$B$5*(1+C17)^$B$11)/(O17*(1+C17)^($B$11-$B$7)),($B$8*(1+C17)^($B$12-$B$11)+$B$9-$B$5*(1+C17)^$B$12)/(O17*(1+C17)^($B$12-$B$7)),($B$8*(1+C17)^($B$13-$B$11)+$B$9*(1+C17)^($B$13-$B$12)+$B$10-$B$5*(1+C17)^$B$13)/(O17*(1+C17)^($B$13-$B$7))),0)</f>
        <v>916</v>
      </c>
      <c r="O17" s="9">
        <f>IF(C17=0,$B$7,((1+C17)^$B$7-1)/C17)</f>
        <v>108.84350547490375</v>
      </c>
      <c r="P17" s="1"/>
    </row>
    <row r="18" spans="1:16" ht="14.4">
      <c r="A18" s="5" t="s">
        <v>32</v>
      </c>
      <c r="B18" s="7">
        <v>0.05</v>
      </c>
      <c r="C18" s="7">
        <f>B18/12</f>
        <v>4.1666666666666666E-3</v>
      </c>
      <c r="D18" s="8">
        <f>$B$5*(1+C18)^$B$11+$B$6*O18*(1+C18)^($B$11-$B$7)</f>
        <v>242342.08949186292</v>
      </c>
      <c r="E18" s="8">
        <f>MIN($B$8,MAX(0,D18))</f>
        <v>20000</v>
      </c>
      <c r="F18" s="8">
        <f>MAX(0,D18-E18)</f>
        <v>222342.08949186292</v>
      </c>
      <c r="G18" s="8">
        <f>F18*(1+C18)^($B$12-$B$11)</f>
        <v>233717.53276925685</v>
      </c>
      <c r="H18" s="8">
        <f>MIN($B$9,MAX(0,G18))</f>
        <v>50000</v>
      </c>
      <c r="I18" s="8">
        <f>MAX(0,G18-H18)</f>
        <v>183717.53276925685</v>
      </c>
      <c r="J18" s="8">
        <f>I18*(1+C18)^($B$13-$B$12)</f>
        <v>224299.88239471623</v>
      </c>
      <c r="K18" s="8">
        <f>MIN($B$10,MAX(0,J18))</f>
        <v>100000</v>
      </c>
      <c r="L18" s="8">
        <f>MAX(0,$B$10-K18)</f>
        <v>0</v>
      </c>
      <c r="M18" s="8">
        <f>MAX(0,J18-K18)</f>
        <v>124299.88239471623</v>
      </c>
      <c r="N18" s="8">
        <f>ROUNDUP(MAX(0,($B$8-$B$5*(1+C18)^$B$11)/(O18*(1+C18)^($B$11-$B$7)),($B$8*(1+C18)^($B$12-$B$11)+$B$9-$B$5*(1+C18)^$B$12)/(O18*(1+C18)^($B$12-$B$7)),($B$8*(1+C18)^($B$13-$B$11)+$B$9*(1+C18)^($B$13-$B$12)+$B$10-$B$5*(1+C18)^$B$13)/(O18*(1+C18)^($B$13-$B$7))),0)</f>
        <v>0</v>
      </c>
      <c r="O18" s="9">
        <f>IF(C18=0,$B$7,((1+C18)^$B$7-1)/C18)</f>
        <v>155.28227944566865</v>
      </c>
      <c r="P18" s="1"/>
    </row>
    <row r="19" spans="1:16" ht="14.4">
      <c r="A19" s="5" t="s">
        <v>33</v>
      </c>
      <c r="B19" s="7">
        <v>0.08</v>
      </c>
      <c r="C19" s="7">
        <f>B19/12</f>
        <v>6.6666666666666671E-3</v>
      </c>
      <c r="D19" s="8">
        <f>$B$5*(1+C19)^$B$11+$B$6*O19*(1+C19)^($B$11-$B$7)</f>
        <v>313437.04104532499</v>
      </c>
      <c r="E19" s="8">
        <f>MIN($B$8,MAX(0,D19))</f>
        <v>20000</v>
      </c>
      <c r="F19" s="8">
        <f>MAX(0,D19-E19)</f>
        <v>293437.04104532499</v>
      </c>
      <c r="G19" s="8">
        <f>F19*(1+C19)^($B$12-$B$11)</f>
        <v>317792.17073114205</v>
      </c>
      <c r="H19" s="8">
        <f>MIN($B$9,MAX(0,G19))</f>
        <v>50000</v>
      </c>
      <c r="I19" s="8">
        <f>MAX(0,G19-H19)</f>
        <v>267792.17073114205</v>
      </c>
      <c r="J19" s="8">
        <f>I19*(1+C19)^($B$13-$B$12)</f>
        <v>368392.61123641016</v>
      </c>
      <c r="K19" s="8">
        <f>MIN($B$10,MAX(0,J19))</f>
        <v>100000</v>
      </c>
      <c r="L19" s="8">
        <f>MAX(0,$B$10-K19)</f>
        <v>0</v>
      </c>
      <c r="M19" s="8">
        <f>MAX(0,J19-K19)</f>
        <v>268392.61123641016</v>
      </c>
      <c r="N19" s="8">
        <f>ROUNDUP(MAX(0,($B$8-$B$5*(1+C19)^$B$11)/(O19*(1+C19)^($B$11-$B$7)),($B$8*(1+C19)^($B$12-$B$11)+$B$9-$B$5*(1+C19)^$B$12)/(O19*(1+C19)^($B$12-$B$7)),($B$8*(1+C19)^($B$13-$B$11)+$B$9*(1+C19)^($B$13-$B$12)+$B$10-$B$5*(1+C19)^$B$13)/(O19*(1+C19)^($B$13-$B$7))),0)</f>
        <v>0</v>
      </c>
      <c r="O19" s="9">
        <f>IF(C19=0,$B$7,((1+C19)^$B$7-1)/C19)</f>
        <v>182.94603518170715</v>
      </c>
      <c r="P19" s="1"/>
    </row>
    <row r="20" spans="1:1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</row>
    <row r="21" spans="1:16" ht="14.4">
      <c r="A21" s="2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</row>
    <row r="22" spans="1:16" ht="14.4">
      <c r="A22" s="2" t="s">
        <v>35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</row>
    <row r="23" spans="1:16" ht="14.4">
      <c r="A23" s="2" t="s">
        <v>36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14.4">
      <c r="A24" s="2" t="s">
        <v>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</row>
    <row r="25" spans="1:1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">
    <mergeCell ref="A1:O1"/>
  </mergeCells>
  <printOptions horizontalCentered="1"/>
  <pageMargins left="0.25" right="0.25" top="0.35" bottom="0.35" header="0.3" footer="0.3"/>
  <pageSetup paperSize="8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workbookViewId="0"/>
  </sheetViews>
  <sheetFormatPr defaultRowHeight="13.8"/>
  <cols>
    <col min="1" max="1" width="29" customWidth="1"/>
    <col min="2" max="2" width="31" customWidth="1"/>
    <col min="3" max="3" width="34" customWidth="1"/>
    <col min="4" max="5" width="18" customWidth="1"/>
    <col min="6" max="6" width="80" customWidth="1"/>
    <col min="7" max="16" width="18" customWidth="1"/>
  </cols>
  <sheetData>
    <row r="1" spans="1:16" ht="30.45" customHeight="1">
      <c r="A1" s="12" t="s">
        <v>38</v>
      </c>
      <c r="B1" s="12" t="s">
        <v>38</v>
      </c>
      <c r="C1" s="12" t="s">
        <v>38</v>
      </c>
      <c r="D1" s="12" t="s">
        <v>38</v>
      </c>
      <c r="E1" s="12" t="s">
        <v>38</v>
      </c>
      <c r="F1" s="12" t="s">
        <v>38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>
      <c r="A2" s="2" t="s">
        <v>39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4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4">
      <c r="A4" s="4" t="s">
        <v>3</v>
      </c>
      <c r="B4" s="4" t="s">
        <v>4</v>
      </c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">
      <c r="A5" s="5" t="s">
        <v>40</v>
      </c>
      <c r="B5" s="6">
        <v>500</v>
      </c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4">
      <c r="A6" s="5" t="s">
        <v>41</v>
      </c>
      <c r="B6" s="10">
        <v>0.2</v>
      </c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4">
      <c r="A7" s="5" t="s">
        <v>42</v>
      </c>
      <c r="B7" s="6">
        <v>149</v>
      </c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4">
      <c r="A8" s="5" t="s">
        <v>43</v>
      </c>
      <c r="B8" s="6">
        <v>20000000</v>
      </c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4">
      <c r="A9" s="5" t="s">
        <v>44</v>
      </c>
      <c r="B9" s="11">
        <v>2.5000000000000001E-3</v>
      </c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4">
      <c r="A10" s="5" t="s">
        <v>45</v>
      </c>
      <c r="B10" s="11">
        <v>0.2</v>
      </c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4">
      <c r="A11" s="5" t="s">
        <v>46</v>
      </c>
      <c r="B11" s="6">
        <v>1</v>
      </c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4">
      <c r="A12" s="5" t="s">
        <v>47</v>
      </c>
      <c r="B12" s="6">
        <v>250000</v>
      </c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4">
      <c r="A13" s="5" t="s">
        <v>48</v>
      </c>
      <c r="B13" s="6">
        <v>1500000</v>
      </c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4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8.8" customHeight="1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4">
      <c r="A16" s="5" t="s">
        <v>55</v>
      </c>
      <c r="B16" s="5" t="s">
        <v>56</v>
      </c>
      <c r="C16" s="5" t="s">
        <v>57</v>
      </c>
      <c r="D16" s="5">
        <f>$B$5*$B$6*$B$7*12</f>
        <v>178800</v>
      </c>
      <c r="E16" s="5">
        <f>0</f>
        <v>0</v>
      </c>
      <c r="F16" s="5" t="s">
        <v>58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5" t="s">
        <v>59</v>
      </c>
      <c r="B17" s="5" t="s">
        <v>60</v>
      </c>
      <c r="C17" s="5" t="s">
        <v>61</v>
      </c>
      <c r="D17" s="5">
        <f>$B$8*$B$9*$B$10</f>
        <v>10000</v>
      </c>
      <c r="E17" s="5">
        <f>0</f>
        <v>0</v>
      </c>
      <c r="F17" s="5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">
      <c r="A18" s="5" t="s">
        <v>63</v>
      </c>
      <c r="B18" s="5" t="s">
        <v>64</v>
      </c>
      <c r="C18" s="5" t="s">
        <v>65</v>
      </c>
      <c r="D18" s="5">
        <f>$B$11*$B$12</f>
        <v>250000</v>
      </c>
      <c r="E18" s="5">
        <f>0</f>
        <v>0</v>
      </c>
      <c r="F18" s="5" t="s">
        <v>66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">
      <c r="A20" s="4" t="s">
        <v>67</v>
      </c>
      <c r="B20" s="4" t="s">
        <v>68</v>
      </c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">
      <c r="A21" s="5" t="s">
        <v>69</v>
      </c>
      <c r="B21" s="8">
        <f>D16</f>
        <v>178800</v>
      </c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">
      <c r="A22" s="5" t="s">
        <v>70</v>
      </c>
      <c r="B22" s="8">
        <f>SUM(D16:D18)</f>
        <v>438800</v>
      </c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">
      <c r="A23" s="5" t="s">
        <v>71</v>
      </c>
      <c r="B23" s="8">
        <f>B13</f>
        <v>1500000</v>
      </c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">
      <c r="A24" s="5" t="s">
        <v>72</v>
      </c>
      <c r="B24" s="8">
        <f>B23-B21</f>
        <v>1321200</v>
      </c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">
      <c r="A25" s="5" t="s">
        <v>73</v>
      </c>
      <c r="B25" s="8">
        <f>B23-B22</f>
        <v>1061200</v>
      </c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">
      <c r="A26" s="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">
      <c r="A27" s="2" t="s">
        <v>74</v>
      </c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">
      <c r="A28" s="2" t="s">
        <v>75</v>
      </c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">
      <c r="A29" s="2" t="s">
        <v>76</v>
      </c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">
      <c r="A30" s="2" t="s">
        <v>77</v>
      </c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">
    <mergeCell ref="A1:F1"/>
  </mergeCells>
  <printOptions horizontalCentered="1"/>
  <pageMargins left="0.25" right="0.25" top="0.35" bottom="0.35" header="0.3" footer="0.3"/>
  <pageSetup paperSize="9"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Pooled goal scenarios</vt:lpstr>
      <vt:lpstr>Revenue hypotheses</vt:lpstr>
      <vt:lpstr>'Pooled goal scenarios'!Print_Area</vt:lpstr>
      <vt:lpstr>'Revenue hypotheses'!Print_Area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Tankhun Luengchaicharn</cp:lastModifiedBy>
  <dcterms:modified xsi:type="dcterms:W3CDTF">2026-10-12T05:23:35Z</dcterms:modified>
</cp:coreProperties>
</file>