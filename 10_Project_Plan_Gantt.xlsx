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Projects\Babyfund Thailand\_bf_work\audit_2026_10_12\corrected\"/>
    </mc:Choice>
  </mc:AlternateContent>
  <xr:revisionPtr revIDLastSave="0" documentId="13_ncr:1_{9681E7CA-A79E-45CA-94DD-1F75BB7E41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ntt Chart" sheetId="1" r:id="rId1"/>
    <sheet name="Notes &amp; Legend" sheetId="2" r:id="rId2"/>
  </sheets>
  <definedNames>
    <definedName name="_xlnm.Print_Area" localSheetId="0">'Gantt Chart'!$A$1:$W$59</definedName>
    <definedName name="_xlnm.Print_Area" localSheetId="1">'Notes &amp; Legend'!$A$1:$B$22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" i="1" l="1"/>
  <c r="B59" i="1"/>
  <c r="D58" i="1"/>
  <c r="B58" i="1"/>
  <c r="G48" i="1"/>
  <c r="G47" i="1"/>
  <c r="G46" i="1"/>
  <c r="G45" i="1"/>
  <c r="G43" i="1"/>
  <c r="G42" i="1"/>
  <c r="G41" i="1"/>
  <c r="G40" i="1"/>
  <c r="G39" i="1"/>
  <c r="G37" i="1"/>
  <c r="G36" i="1"/>
  <c r="G35" i="1"/>
  <c r="G34" i="1"/>
  <c r="G33" i="1"/>
  <c r="G32" i="1"/>
  <c r="G30" i="1"/>
  <c r="G29" i="1"/>
  <c r="G28" i="1"/>
  <c r="G27" i="1"/>
  <c r="G26" i="1"/>
  <c r="G24" i="1"/>
  <c r="G23" i="1"/>
  <c r="G22" i="1"/>
  <c r="G21" i="1"/>
  <c r="G19" i="1"/>
  <c r="G18" i="1"/>
  <c r="G17" i="1"/>
  <c r="G16" i="1"/>
  <c r="G15" i="1"/>
  <c r="G14" i="1"/>
  <c r="G13" i="1"/>
  <c r="G12" i="1"/>
</calcChain>
</file>

<file path=xl/sharedStrings.xml><?xml version="1.0" encoding="utf-8"?>
<sst xmlns="http://schemas.openxmlformats.org/spreadsheetml/2006/main" count="281" uniqueCount="166">
  <si>
    <t>BABYFUND THAILAND | CASE STUDY</t>
  </si>
  <si>
    <t>Family Savings Coordination Platform</t>
  </si>
  <si>
    <t>PROJECT PLAN — GANTT CHART</t>
  </si>
  <si>
    <t>Illustrative overlapping activity windows only; gate timing and critical path are not validated.</t>
  </si>
  <si>
    <t>Edition</t>
  </si>
  <si>
    <t>Portfolio edition</t>
  </si>
  <si>
    <t>Start</t>
  </si>
  <si>
    <t>03 August 2026</t>
  </si>
  <si>
    <t>Duration</t>
  </si>
  <si>
    <t>14 four-week blocks (56 weeks), not 14 calendar months</t>
  </si>
  <si>
    <t>Author</t>
  </si>
  <si>
    <t>Tankhun Luengchaicharn, Junior IT Business Analyst</t>
  </si>
  <si>
    <t>Task ID</t>
  </si>
  <si>
    <t>Task Name</t>
  </si>
  <si>
    <t>Phase</t>
  </si>
  <si>
    <t>Owner</t>
  </si>
  <si>
    <t>Start Date</t>
  </si>
  <si>
    <t>End Date</t>
  </si>
  <si>
    <t>Duration
(wks)</t>
  </si>
  <si>
    <t>Related task(s)</t>
  </si>
  <si>
    <t>Status</t>
  </si>
  <si>
    <t>B1
Aug 26</t>
  </si>
  <si>
    <t>B2
Aug 26</t>
  </si>
  <si>
    <t>B3
Sep 26</t>
  </si>
  <si>
    <t>B4
Oct 26</t>
  </si>
  <si>
    <t>B5
Nov 26</t>
  </si>
  <si>
    <t>B6
Dec 26</t>
  </si>
  <si>
    <t>B7
Jan 27</t>
  </si>
  <si>
    <t>B8
Feb 27</t>
  </si>
  <si>
    <t>B9
Mar 27</t>
  </si>
  <si>
    <t>B10
Apr 27</t>
  </si>
  <si>
    <t>B11
May 27</t>
  </si>
  <si>
    <t>B12
Jun 27</t>
  </si>
  <si>
    <t>B13
Jul 27</t>
  </si>
  <si>
    <t>B14
Aug 27</t>
  </si>
  <si>
    <t>1. Discovery &amp; Regulatory</t>
  </si>
  <si>
    <t>T01</t>
  </si>
  <si>
    <t>Stakeholder interviews &amp; requirements gathering</t>
  </si>
  <si>
    <t>Discovery &amp; Regulatory</t>
  </si>
  <si>
    <t>Business Analyst</t>
  </si>
  <si>
    <t>Not Started</t>
  </si>
  <si>
    <t>T02</t>
  </si>
  <si>
    <t>Competitive &amp; market research</t>
  </si>
  <si>
    <t>T03</t>
  </si>
  <si>
    <t>Identify &amp; shortlist candidate broker partners</t>
  </si>
  <si>
    <t>Product Manager</t>
  </si>
  <si>
    <t>T04</t>
  </si>
  <si>
    <t>Broker partnership negotiation</t>
  </si>
  <si>
    <t>CEO / Product Manager</t>
  </si>
  <si>
    <t>T05</t>
  </si>
  <si>
    <t>Legal review of ownership, funding rights and withdrawal terms</t>
  </si>
  <si>
    <t>Legal Counsel</t>
  </si>
  <si>
    <t>T06</t>
  </si>
  <si>
    <t>PDPA &amp; AML compliance framework design</t>
  </si>
  <si>
    <t>Compliance Officer</t>
  </si>
  <si>
    <t>T07</t>
  </si>
  <si>
    <t>Conditional partner feasibility and terms gate</t>
  </si>
  <si>
    <t>CEO</t>
  </si>
  <si>
    <t>T08</t>
  </si>
  <si>
    <t>Finalize BRD &amp; FRD sign-off</t>
  </si>
  <si>
    <t>T05,T06</t>
  </si>
  <si>
    <t>2. Design</t>
  </si>
  <si>
    <t>T09</t>
  </si>
  <si>
    <t>UX research &amp; wireframes</t>
  </si>
  <si>
    <t>Design</t>
  </si>
  <si>
    <t>UI/UX Designer</t>
  </si>
  <si>
    <t>T10</t>
  </si>
  <si>
    <t>System architecture &amp; API planning with broker</t>
  </si>
  <si>
    <t>IT Development Team</t>
  </si>
  <si>
    <t>T11</t>
  </si>
  <si>
    <t>Visual design &amp; prototyping</t>
  </si>
  <si>
    <t>T12</t>
  </si>
  <si>
    <t>Design sign-off</t>
  </si>
  <si>
    <t>T10,T11</t>
  </si>
  <si>
    <t>3. Development Sprint 1</t>
  </si>
  <si>
    <t>T13</t>
  </si>
  <si>
    <t>KYC &amp; onboarding module</t>
  </si>
  <si>
    <t>Development Sprint 1</t>
  </si>
  <si>
    <t>T14</t>
  </si>
  <si>
    <t>Child profile, age gate and proposed partner account reference</t>
  </si>
  <si>
    <t>T15</t>
  </si>
  <si>
    <t>Provider-approved payment route feasibility and mock states</t>
  </si>
  <si>
    <t>T16</t>
  </si>
  <si>
    <t>Private invite, unpaid intent and guardian review flow</t>
  </si>
  <si>
    <t>T17</t>
  </si>
  <si>
    <t>Alpha build &amp; internal testing</t>
  </si>
  <si>
    <t>IT Development Team / QA</t>
  </si>
  <si>
    <t>T13,T14,T15,T16</t>
  </si>
  <si>
    <t>4. Development Sprint 2</t>
  </si>
  <si>
    <t>T18</t>
  </si>
  <si>
    <t>Family Fund Circle &amp; Merit Contribution</t>
  </si>
  <si>
    <t>Development Sprint 2</t>
  </si>
  <si>
    <t>T19</t>
  </si>
  <si>
    <t>Pooled goals and scenario projector</t>
  </si>
  <si>
    <t>T20</t>
  </si>
  <si>
    <t>S&amp;P 500 vehicle feasibility (partner dependent)</t>
  </si>
  <si>
    <t>T21</t>
  </si>
  <si>
    <t>LINE integration (login, notifications, backup channels)</t>
  </si>
  <si>
    <t>T22</t>
  </si>
  <si>
    <t>BabyFund Academy content &amp; module</t>
  </si>
  <si>
    <t>Marketing Team</t>
  </si>
  <si>
    <t>T23</t>
  </si>
  <si>
    <t>Beta build</t>
  </si>
  <si>
    <t>T18,T19,T20,T21,T22</t>
  </si>
  <si>
    <t>5. Testing &amp; UAT</t>
  </si>
  <si>
    <t>T24</t>
  </si>
  <si>
    <t>QA functional testing</t>
  </si>
  <si>
    <t>Testing &amp; UAT</t>
  </si>
  <si>
    <t>QA Team</t>
  </si>
  <si>
    <t>T25</t>
  </si>
  <si>
    <t>Compliance &amp; regulatory review with broker partner</t>
  </si>
  <si>
    <t>T26</t>
  </si>
  <si>
    <t>Proposed parent-user UAT (not executed)</t>
  </si>
  <si>
    <t>Business Analyst / Product Manager</t>
  </si>
  <si>
    <t>T27</t>
  </si>
  <si>
    <t>Bug fixes &amp; final adjustments</t>
  </si>
  <si>
    <t>T24,T26</t>
  </si>
  <si>
    <t>T28</t>
  </si>
  <si>
    <t>UAT sign-off</t>
  </si>
  <si>
    <t>6. Launch</t>
  </si>
  <si>
    <t>T29</t>
  </si>
  <si>
    <t>App Store &amp; Google Play submission</t>
  </si>
  <si>
    <t>Launch</t>
  </si>
  <si>
    <t>T30</t>
  </si>
  <si>
    <t>Marketing launch campaign preparation</t>
  </si>
  <si>
    <t>T31</t>
  </si>
  <si>
    <t>Customer support readiness training</t>
  </si>
  <si>
    <t>Customer Support Lead</t>
  </si>
  <si>
    <t>T32</t>
  </si>
  <si>
    <t>Go live &amp; onboard first accounts</t>
  </si>
  <si>
    <t>T29,T30,T31</t>
  </si>
  <si>
    <t>MILESTONES</t>
  </si>
  <si>
    <t>MS-1</t>
  </si>
  <si>
    <t>Proposed partner and payment feasibility gate (not signed)</t>
  </si>
  <si>
    <t>Ref: T07</t>
  </si>
  <si>
    <t>Planned</t>
  </si>
  <si>
    <t>◆</t>
  </si>
  <si>
    <t>MS-2</t>
  </si>
  <si>
    <t>Design Sign-off</t>
  </si>
  <si>
    <t>Ref: T12</t>
  </si>
  <si>
    <t>MS-3</t>
  </si>
  <si>
    <t>Alpha Build Complete</t>
  </si>
  <si>
    <t>Ref: T17</t>
  </si>
  <si>
    <t>MS-4</t>
  </si>
  <si>
    <t>Beta Build Complete</t>
  </si>
  <si>
    <t>Ref: T23</t>
  </si>
  <si>
    <t>MS-5</t>
  </si>
  <si>
    <t>UAT Sign-off</t>
  </si>
  <si>
    <t>Ref: T28</t>
  </si>
  <si>
    <t>MS-6</t>
  </si>
  <si>
    <t>Go Live</t>
  </si>
  <si>
    <t>Ref: T32</t>
  </si>
  <si>
    <t>Total Tasks</t>
  </si>
  <si>
    <t>Total Milestones</t>
  </si>
  <si>
    <t>Project Start</t>
  </si>
  <si>
    <t>Project End (Go Live)</t>
  </si>
  <si>
    <t>Notes &amp; Phase Legend</t>
  </si>
  <si>
    <t>Timeline basis</t>
  </si>
  <si>
    <t>Each B column is a four-week planning block from 3 Aug 2026, not a calendar month. B1 and B2 both display Aug 2026. Dates are illustrative and unapproved.</t>
  </si>
  <si>
    <t>Corrected timeline</t>
  </si>
  <si>
    <t>Illustrative 14-block launch scenario only; no partner agreement, build, UAT or launch occurred. Partner role, product, payer route and withdrawal policy are stop/go gates, not completed milestones.</t>
  </si>
  <si>
    <t>Phase Color Legend</t>
  </si>
  <si>
    <t>Milestone marker</t>
  </si>
  <si>
    <t>A navy diamond (◆) marks the illustrative four-week block of each milestone.</t>
  </si>
  <si>
    <t>Dependencies</t>
  </si>
  <si>
    <t>Column H lists related inputs, not finish-to-start dependencies. Several activities overlap. This is not a validated critical path or an executable launch commitment; partner, payment, ownership, suitability and legal gates must be sequenced anew before any real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</si>
</sst>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8" x14ac:knownFonts="1">
    <font>
      <sz val="11"/>
      <color theme="1"/>
      <name val="Calibri"/>
      <family val="2"/>
    </font>
    <font>
      <b/>
      <sz val="13"/>
      <color rgb="FF1F3864"/>
      <name val="Arial"/>
    </font>
    <font>
      <sz val="11"/>
      <color theme="1"/>
      <name val="Arial"/>
      <family val="2"/>
    </font>
    <font>
      <i/>
      <sz val="10"/>
      <color rgb="FF595959"/>
      <name val="Arial"/>
    </font>
    <font>
      <b/>
      <sz val="18"/>
      <color rgb="FF1F3864"/>
      <name val="Arial"/>
    </font>
    <font>
      <b/>
      <sz val="9.5"/>
      <color rgb="FF000000"/>
      <name val="Arial"/>
    </font>
    <font>
      <sz val="9.5"/>
      <color rgb="FF000000"/>
      <name val="Arial"/>
    </font>
    <font>
      <b/>
      <sz val="9.5"/>
      <color rgb="FFFFFFFF"/>
      <name val="Arial"/>
    </font>
    <font>
      <b/>
      <sz val="8"/>
      <color rgb="FFFFFFFF"/>
      <name val="Arial"/>
    </font>
    <font>
      <b/>
      <sz val="10"/>
      <color rgb="FF1F3864"/>
      <name val="Arial"/>
    </font>
    <font>
      <sz val="9.5"/>
      <color rgb="FF8A6D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9.5"/>
      <color rgb="FF1F3864"/>
      <name val="Arial"/>
    </font>
    <font>
      <sz val="9"/>
      <color rgb="FF595959"/>
      <name val="Arial"/>
    </font>
    <font>
      <b/>
      <sz val="15"/>
      <color rgb="FF1F3864"/>
      <name val="Arial"/>
    </font>
    <font>
      <b/>
      <sz val="10"/>
      <color rgb="FF000000"/>
      <name val="Arial"/>
    </font>
    <font>
      <b/>
      <sz val="11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F3864"/>
      </patternFill>
    </fill>
    <fill>
      <patternFill patternType="solid">
        <fgColor rgb="FFD3E0F2"/>
      </patternFill>
    </fill>
    <fill>
      <patternFill patternType="solid">
        <fgColor rgb="FFFBE8B8"/>
      </patternFill>
    </fill>
    <fill>
      <patternFill patternType="solid">
        <fgColor rgb="FFD4EDDA"/>
      </patternFill>
    </fill>
    <fill>
      <patternFill patternType="solid">
        <fgColor rgb="FFE2D9F3"/>
      </patternFill>
    </fill>
    <fill>
      <patternFill patternType="solid">
        <fgColor rgb="FFFDE2C8"/>
      </patternFill>
    </fill>
    <fill>
      <patternFill patternType="solid">
        <fgColor rgb="FFF8D7DA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2E5B9A"/>
      </top>
      <bottom style="thin">
        <color rgb="FF2E5B9A"/>
      </bottom>
      <diagonal/>
    </border>
    <border>
      <left style="thin">
        <color rgb="FFB7B7B7"/>
      </left>
      <right style="thin">
        <color rgb="FFB7B7B7"/>
      </right>
      <top style="thin">
        <color rgb="FFD9A400"/>
      </top>
      <bottom style="thin">
        <color rgb="FFD9A400"/>
      </bottom>
      <diagonal/>
    </border>
    <border>
      <left style="thin">
        <color rgb="FFB7B7B7"/>
      </left>
      <right style="thin">
        <color rgb="FFB7B7B7"/>
      </right>
      <top style="thin">
        <color rgb="FF3E8E5A"/>
      </top>
      <bottom style="thin">
        <color rgb="FF3E8E5A"/>
      </bottom>
      <diagonal/>
    </border>
    <border>
      <left style="thin">
        <color rgb="FFB7B7B7"/>
      </left>
      <right style="thin">
        <color rgb="FFB7B7B7"/>
      </right>
      <top style="thin">
        <color rgb="FF7B5EA7"/>
      </top>
      <bottom style="thin">
        <color rgb="FF7B5EA7"/>
      </bottom>
      <diagonal/>
    </border>
    <border>
      <left style="thin">
        <color rgb="FFB7B7B7"/>
      </left>
      <right style="thin">
        <color rgb="FFB7B7B7"/>
      </right>
      <top style="thin">
        <color rgb="FFC97A2B"/>
      </top>
      <bottom style="thin">
        <color rgb="FFC97A2B"/>
      </bottom>
      <diagonal/>
    </border>
    <border>
      <left style="thin">
        <color rgb="FFB7B7B7"/>
      </left>
      <right style="thin">
        <color rgb="FFB7B7B7"/>
      </right>
      <top style="thin">
        <color rgb="FFC0392B"/>
      </top>
      <bottom style="thin">
        <color rgb="FFC0392B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5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5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0" fontId="11" fillId="8" borderId="7" xfId="0" applyFont="1" applyFill="1" applyBorder="1" applyAlignment="1">
      <alignment horizontal="left" vertical="center"/>
    </xf>
    <xf numFmtId="0" fontId="11" fillId="9" borderId="8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/>
    </xf>
    <xf numFmtId="0" fontId="16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left" vertical="center" wrapText="1"/>
    </xf>
    <xf numFmtId="0" fontId="11" fillId="8" borderId="0" xfId="0" applyFont="1" applyFill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/>
    </xf>
    <xf numFmtId="0" fontId="2" fillId="0" borderId="9" xfId="0" applyFont="1" applyBorder="1"/>
    <xf numFmtId="0" fontId="9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14" fillId="0" borderId="2" xfId="0" applyFont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B7B7B7"/>
      <rgbColor rgb="FF808080"/>
      <rgbColor rgb="FF9999FF"/>
      <rgbColor rgb="FF993366"/>
      <rgbColor rgb="FFFBE8B8"/>
      <rgbColor rgb="FFDCE6F1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E0F2"/>
      <rgbColor rgb="FFD4EDDA"/>
      <rgbColor rgb="FFF8D7DA"/>
      <rgbColor rgb="FF99CCFF"/>
      <rgbColor rgb="FFFF99CC"/>
      <rgbColor rgb="FFCC99FF"/>
      <rgbColor rgb="FFFDE2C8"/>
      <rgbColor rgb="FF3366FF"/>
      <rgbColor rgb="FF33CCCC"/>
      <rgbColor rgb="FF99CC00"/>
      <rgbColor rgb="FFFFCC00"/>
      <rgbColor rgb="FFD9A400"/>
      <rgbColor rgb="FFC97A2B"/>
      <rgbColor rgb="FF7B5EA7"/>
      <rgbColor rgb="FF969696"/>
      <rgbColor rgb="FF1F3864"/>
      <rgbColor rgb="FF3E8E5A"/>
      <rgbColor rgb="FF003300"/>
      <rgbColor rgb="FF333300"/>
      <rgbColor rgb="FFC0392B"/>
      <rgbColor rgb="FF993366"/>
      <rgbColor rgb="FF2E5B9A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9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A11" sqref="A11:W11"/>
    </sheetView>
  </sheetViews>
  <sheetFormatPr defaultColWidth="8.6640625" defaultRowHeight="14.4" x14ac:dyDescent="0.3"/>
  <cols>
    <col min="1" max="1" width="9" customWidth="1"/>
    <col min="2" max="2" width="65" customWidth="1"/>
    <col min="3" max="3" width="27" customWidth="1"/>
    <col min="4" max="4" width="30" customWidth="1"/>
    <col min="5" max="6" width="11" customWidth="1"/>
    <col min="7" max="7" width="8" customWidth="1"/>
    <col min="8" max="8" width="22" customWidth="1"/>
    <col min="9" max="9" width="11" customWidth="1"/>
    <col min="10" max="23" width="5.109375" customWidth="1"/>
  </cols>
  <sheetData>
    <row r="1" spans="1:23" ht="17.25" customHeight="1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x14ac:dyDescent="0.3">
      <c r="A2" s="41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3" ht="23.25" customHeight="1" x14ac:dyDescent="0.3">
      <c r="A3" s="40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3" x14ac:dyDescent="0.3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2" t="s">
        <v>4</v>
      </c>
      <c r="B5" s="32" t="s">
        <v>5</v>
      </c>
      <c r="C5" s="30"/>
      <c r="D5" s="30"/>
      <c r="E5" s="3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2" t="s">
        <v>6</v>
      </c>
      <c r="B6" s="32" t="s">
        <v>7</v>
      </c>
      <c r="C6" s="30"/>
      <c r="D6" s="30"/>
      <c r="E6" s="3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2" t="s">
        <v>8</v>
      </c>
      <c r="B7" s="32" t="s">
        <v>9</v>
      </c>
      <c r="C7" s="30"/>
      <c r="D7" s="30"/>
      <c r="E7" s="3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2" t="s">
        <v>10</v>
      </c>
      <c r="B8" s="32" t="s">
        <v>11</v>
      </c>
      <c r="C8" s="30"/>
      <c r="D8" s="30"/>
      <c r="E8" s="3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30" customHeight="1" x14ac:dyDescent="0.3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 s="4" t="s">
        <v>21</v>
      </c>
      <c r="K10" s="4" t="s">
        <v>22</v>
      </c>
      <c r="L10" s="4" t="s">
        <v>23</v>
      </c>
      <c r="M10" s="4" t="s">
        <v>24</v>
      </c>
      <c r="N10" s="4" t="s">
        <v>25</v>
      </c>
      <c r="O10" s="4" t="s">
        <v>26</v>
      </c>
      <c r="P10" s="4" t="s">
        <v>27</v>
      </c>
      <c r="Q10" s="4" t="s">
        <v>28</v>
      </c>
      <c r="R10" s="4" t="s">
        <v>29</v>
      </c>
      <c r="S10" s="4" t="s">
        <v>30</v>
      </c>
      <c r="T10" s="4" t="s">
        <v>31</v>
      </c>
      <c r="U10" s="4" t="s">
        <v>32</v>
      </c>
      <c r="V10" s="4" t="s">
        <v>33</v>
      </c>
      <c r="W10" s="4" t="s">
        <v>34</v>
      </c>
    </row>
    <row r="11" spans="1:23" x14ac:dyDescent="0.3">
      <c r="A11" s="34" t="s">
        <v>35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x14ac:dyDescent="0.3">
      <c r="A12" s="5" t="s">
        <v>36</v>
      </c>
      <c r="B12" s="6" t="s">
        <v>37</v>
      </c>
      <c r="C12" s="6" t="s">
        <v>38</v>
      </c>
      <c r="D12" s="6" t="s">
        <v>39</v>
      </c>
      <c r="E12" s="7">
        <v>46237</v>
      </c>
      <c r="F12" s="7">
        <v>46257</v>
      </c>
      <c r="G12" s="8">
        <f t="shared" ref="G12:G19" si="0">(F12-E12+1)/7</f>
        <v>3</v>
      </c>
      <c r="H12" s="5"/>
      <c r="I12" s="9" t="s">
        <v>40</v>
      </c>
      <c r="J12" s="10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3">
      <c r="A13" s="5" t="s">
        <v>41</v>
      </c>
      <c r="B13" s="6" t="s">
        <v>42</v>
      </c>
      <c r="C13" s="6" t="s">
        <v>38</v>
      </c>
      <c r="D13" s="6" t="s">
        <v>39</v>
      </c>
      <c r="E13" s="7">
        <v>46237</v>
      </c>
      <c r="F13" s="7">
        <v>46264</v>
      </c>
      <c r="G13" s="8">
        <f t="shared" si="0"/>
        <v>4</v>
      </c>
      <c r="H13" s="5"/>
      <c r="I13" s="9" t="s">
        <v>40</v>
      </c>
      <c r="J13" s="10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3">
      <c r="A14" s="5" t="s">
        <v>43</v>
      </c>
      <c r="B14" s="6" t="s">
        <v>44</v>
      </c>
      <c r="C14" s="6" t="s">
        <v>38</v>
      </c>
      <c r="D14" s="6" t="s">
        <v>45</v>
      </c>
      <c r="E14" s="7">
        <v>46244</v>
      </c>
      <c r="F14" s="7">
        <v>46278</v>
      </c>
      <c r="G14" s="8">
        <f t="shared" si="0"/>
        <v>5</v>
      </c>
      <c r="H14" s="5"/>
      <c r="I14" s="9" t="s">
        <v>40</v>
      </c>
      <c r="J14" s="10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3">
      <c r="A15" s="5" t="s">
        <v>46</v>
      </c>
      <c r="B15" s="6" t="s">
        <v>47</v>
      </c>
      <c r="C15" s="6" t="s">
        <v>38</v>
      </c>
      <c r="D15" s="6" t="s">
        <v>48</v>
      </c>
      <c r="E15" s="7">
        <v>46272</v>
      </c>
      <c r="F15" s="7">
        <v>46348</v>
      </c>
      <c r="G15" s="8">
        <f t="shared" si="0"/>
        <v>11</v>
      </c>
      <c r="H15" s="5" t="s">
        <v>43</v>
      </c>
      <c r="I15" s="9" t="s">
        <v>40</v>
      </c>
      <c r="J15" s="11"/>
      <c r="K15" s="10"/>
      <c r="L15" s="10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3">
      <c r="A16" s="5" t="s">
        <v>49</v>
      </c>
      <c r="B16" s="6" t="s">
        <v>50</v>
      </c>
      <c r="C16" s="6" t="s">
        <v>38</v>
      </c>
      <c r="D16" s="6" t="s">
        <v>51</v>
      </c>
      <c r="E16" s="7">
        <v>46265</v>
      </c>
      <c r="F16" s="7">
        <v>46306</v>
      </c>
      <c r="G16" s="8">
        <f t="shared" si="0"/>
        <v>6</v>
      </c>
      <c r="H16" s="5" t="s">
        <v>36</v>
      </c>
      <c r="I16" s="9" t="s">
        <v>40</v>
      </c>
      <c r="J16" s="11"/>
      <c r="K16" s="10"/>
      <c r="L16" s="1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3">
      <c r="A17" s="5" t="s">
        <v>52</v>
      </c>
      <c r="B17" s="6" t="s">
        <v>53</v>
      </c>
      <c r="C17" s="6" t="s">
        <v>38</v>
      </c>
      <c r="D17" s="6" t="s">
        <v>54</v>
      </c>
      <c r="E17" s="7">
        <v>46265</v>
      </c>
      <c r="F17" s="7">
        <v>46320</v>
      </c>
      <c r="G17" s="8">
        <f t="shared" si="0"/>
        <v>8</v>
      </c>
      <c r="H17" s="5" t="s">
        <v>36</v>
      </c>
      <c r="I17" s="9" t="s">
        <v>40</v>
      </c>
      <c r="J17" s="11"/>
      <c r="K17" s="10"/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3">
      <c r="A18" s="5" t="s">
        <v>55</v>
      </c>
      <c r="B18" s="6" t="s">
        <v>56</v>
      </c>
      <c r="C18" s="6" t="s">
        <v>38</v>
      </c>
      <c r="D18" s="6" t="s">
        <v>57</v>
      </c>
      <c r="E18" s="7">
        <v>46321</v>
      </c>
      <c r="F18" s="7">
        <v>46334</v>
      </c>
      <c r="G18" s="8">
        <f t="shared" si="0"/>
        <v>2</v>
      </c>
      <c r="H18" s="5" t="s">
        <v>46</v>
      </c>
      <c r="I18" s="9" t="s">
        <v>40</v>
      </c>
      <c r="J18" s="11"/>
      <c r="K18" s="11"/>
      <c r="L18" s="11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3">
      <c r="A19" s="5" t="s">
        <v>58</v>
      </c>
      <c r="B19" s="6" t="s">
        <v>59</v>
      </c>
      <c r="C19" s="6" t="s">
        <v>38</v>
      </c>
      <c r="D19" s="6" t="s">
        <v>39</v>
      </c>
      <c r="E19" s="7">
        <v>46307</v>
      </c>
      <c r="F19" s="7">
        <v>46334</v>
      </c>
      <c r="G19" s="8">
        <f t="shared" si="0"/>
        <v>4</v>
      </c>
      <c r="H19" s="5" t="s">
        <v>60</v>
      </c>
      <c r="I19" s="9" t="s">
        <v>40</v>
      </c>
      <c r="J19" s="11"/>
      <c r="K19" s="11"/>
      <c r="L19" s="10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3">
      <c r="A20" s="42" t="s">
        <v>61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x14ac:dyDescent="0.3">
      <c r="A21" s="5" t="s">
        <v>62</v>
      </c>
      <c r="B21" s="6" t="s">
        <v>63</v>
      </c>
      <c r="C21" s="6" t="s">
        <v>64</v>
      </c>
      <c r="D21" s="6" t="s">
        <v>65</v>
      </c>
      <c r="E21" s="7">
        <v>46328</v>
      </c>
      <c r="F21" s="7">
        <v>46362</v>
      </c>
      <c r="G21" s="8">
        <f>(F21-E21+1)/7</f>
        <v>5</v>
      </c>
      <c r="H21" s="5" t="s">
        <v>58</v>
      </c>
      <c r="I21" s="9" t="s">
        <v>40</v>
      </c>
      <c r="J21" s="11"/>
      <c r="K21" s="11"/>
      <c r="L21" s="11"/>
      <c r="M21" s="12"/>
      <c r="N21" s="12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3">
      <c r="A22" s="5" t="s">
        <v>66</v>
      </c>
      <c r="B22" s="6" t="s">
        <v>67</v>
      </c>
      <c r="C22" s="6" t="s">
        <v>64</v>
      </c>
      <c r="D22" s="6" t="s">
        <v>68</v>
      </c>
      <c r="E22" s="7">
        <v>46335</v>
      </c>
      <c r="F22" s="7">
        <v>46369</v>
      </c>
      <c r="G22" s="8">
        <f>(F22-E22+1)/7</f>
        <v>5</v>
      </c>
      <c r="H22" s="5" t="s">
        <v>55</v>
      </c>
      <c r="I22" s="9" t="s">
        <v>40</v>
      </c>
      <c r="J22" s="11"/>
      <c r="K22" s="11"/>
      <c r="L22" s="11"/>
      <c r="M22" s="12"/>
      <c r="N22" s="12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3">
      <c r="A23" s="5" t="s">
        <v>69</v>
      </c>
      <c r="B23" s="6" t="s">
        <v>70</v>
      </c>
      <c r="C23" s="6" t="s">
        <v>64</v>
      </c>
      <c r="D23" s="6" t="s">
        <v>65</v>
      </c>
      <c r="E23" s="7">
        <v>46349</v>
      </c>
      <c r="F23" s="7">
        <v>46376</v>
      </c>
      <c r="G23" s="8">
        <f>(F23-E23+1)/7</f>
        <v>4</v>
      </c>
      <c r="H23" s="5" t="s">
        <v>62</v>
      </c>
      <c r="I23" s="9" t="s">
        <v>40</v>
      </c>
      <c r="J23" s="11"/>
      <c r="K23" s="11"/>
      <c r="L23" s="11"/>
      <c r="M23" s="11"/>
      <c r="N23" s="12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3">
      <c r="A24" s="5" t="s">
        <v>71</v>
      </c>
      <c r="B24" s="6" t="s">
        <v>72</v>
      </c>
      <c r="C24" s="6" t="s">
        <v>64</v>
      </c>
      <c r="D24" s="6" t="s">
        <v>45</v>
      </c>
      <c r="E24" s="7">
        <v>46377</v>
      </c>
      <c r="F24" s="7">
        <v>46383</v>
      </c>
      <c r="G24" s="8">
        <f>(F24-E24+1)/7</f>
        <v>1</v>
      </c>
      <c r="H24" s="5" t="s">
        <v>73</v>
      </c>
      <c r="I24" s="9" t="s">
        <v>40</v>
      </c>
      <c r="J24" s="11"/>
      <c r="K24" s="11"/>
      <c r="L24" s="11"/>
      <c r="M24" s="11"/>
      <c r="N24" s="11"/>
      <c r="O24" s="12"/>
      <c r="P24" s="11"/>
      <c r="Q24" s="11"/>
      <c r="R24" s="11"/>
      <c r="S24" s="11"/>
      <c r="T24" s="11"/>
      <c r="U24" s="11"/>
      <c r="V24" s="11"/>
      <c r="W24" s="11"/>
    </row>
    <row r="25" spans="1:23" x14ac:dyDescent="0.3">
      <c r="A25" s="38" t="s">
        <v>74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x14ac:dyDescent="0.3">
      <c r="A26" s="5" t="s">
        <v>75</v>
      </c>
      <c r="B26" s="6" t="s">
        <v>76</v>
      </c>
      <c r="C26" s="6" t="s">
        <v>77</v>
      </c>
      <c r="D26" s="6" t="s">
        <v>68</v>
      </c>
      <c r="E26" s="7">
        <v>46377</v>
      </c>
      <c r="F26" s="7">
        <v>46418</v>
      </c>
      <c r="G26" s="8">
        <f>(F26-E26+1)/7</f>
        <v>6</v>
      </c>
      <c r="H26" s="5" t="s">
        <v>71</v>
      </c>
      <c r="I26" s="9" t="s">
        <v>40</v>
      </c>
      <c r="J26" s="11"/>
      <c r="K26" s="11"/>
      <c r="L26" s="11"/>
      <c r="M26" s="11"/>
      <c r="N26" s="11"/>
      <c r="O26" s="13"/>
      <c r="P26" s="13"/>
      <c r="Q26" s="11"/>
      <c r="R26" s="11"/>
      <c r="S26" s="11"/>
      <c r="T26" s="11"/>
      <c r="U26" s="11"/>
      <c r="V26" s="11"/>
      <c r="W26" s="11"/>
    </row>
    <row r="27" spans="1:23" x14ac:dyDescent="0.3">
      <c r="A27" s="5" t="s">
        <v>78</v>
      </c>
      <c r="B27" s="6" t="s">
        <v>79</v>
      </c>
      <c r="C27" s="6" t="s">
        <v>77</v>
      </c>
      <c r="D27" s="6" t="s">
        <v>68</v>
      </c>
      <c r="E27" s="7">
        <v>46384</v>
      </c>
      <c r="F27" s="7">
        <v>46425</v>
      </c>
      <c r="G27" s="8">
        <f>(F27-E27+1)/7</f>
        <v>6</v>
      </c>
      <c r="H27" s="5" t="s">
        <v>71</v>
      </c>
      <c r="I27" s="9" t="s">
        <v>40</v>
      </c>
      <c r="J27" s="11"/>
      <c r="K27" s="11"/>
      <c r="L27" s="11"/>
      <c r="M27" s="11"/>
      <c r="N27" s="11"/>
      <c r="O27" s="13"/>
      <c r="P27" s="13"/>
      <c r="Q27" s="11"/>
      <c r="R27" s="11"/>
      <c r="S27" s="11"/>
      <c r="T27" s="11"/>
      <c r="U27" s="11"/>
      <c r="V27" s="11"/>
      <c r="W27" s="11"/>
    </row>
    <row r="28" spans="1:23" x14ac:dyDescent="0.3">
      <c r="A28" s="5" t="s">
        <v>80</v>
      </c>
      <c r="B28" s="6" t="s">
        <v>81</v>
      </c>
      <c r="C28" s="6" t="s">
        <v>77</v>
      </c>
      <c r="D28" s="6" t="s">
        <v>68</v>
      </c>
      <c r="E28" s="7">
        <v>46405</v>
      </c>
      <c r="F28" s="7">
        <v>46446</v>
      </c>
      <c r="G28" s="8">
        <f>(F28-E28+1)/7</f>
        <v>6</v>
      </c>
      <c r="H28" s="5" t="s">
        <v>71</v>
      </c>
      <c r="I28" s="9" t="s">
        <v>40</v>
      </c>
      <c r="J28" s="11"/>
      <c r="K28" s="11"/>
      <c r="L28" s="11"/>
      <c r="M28" s="11"/>
      <c r="N28" s="11"/>
      <c r="O28" s="11"/>
      <c r="P28" s="13"/>
      <c r="Q28" s="13"/>
      <c r="R28" s="11"/>
      <c r="S28" s="11"/>
      <c r="T28" s="11"/>
      <c r="U28" s="11"/>
      <c r="V28" s="11"/>
      <c r="W28" s="11"/>
    </row>
    <row r="29" spans="1:23" x14ac:dyDescent="0.3">
      <c r="A29" s="5" t="s">
        <v>82</v>
      </c>
      <c r="B29" s="6" t="s">
        <v>83</v>
      </c>
      <c r="C29" s="6" t="s">
        <v>77</v>
      </c>
      <c r="D29" s="6" t="s">
        <v>68</v>
      </c>
      <c r="E29" s="7">
        <v>46419</v>
      </c>
      <c r="F29" s="7">
        <v>46460</v>
      </c>
      <c r="G29" s="8">
        <f>(F29-E29+1)/7</f>
        <v>6</v>
      </c>
      <c r="H29" s="5" t="s">
        <v>78</v>
      </c>
      <c r="I29" s="9" t="s">
        <v>40</v>
      </c>
      <c r="J29" s="11"/>
      <c r="K29" s="11"/>
      <c r="L29" s="11"/>
      <c r="M29" s="11"/>
      <c r="N29" s="11"/>
      <c r="O29" s="11"/>
      <c r="P29" s="13"/>
      <c r="Q29" s="13"/>
      <c r="R29" s="11"/>
      <c r="S29" s="11"/>
      <c r="T29" s="11"/>
      <c r="U29" s="11"/>
      <c r="V29" s="11"/>
      <c r="W29" s="11"/>
    </row>
    <row r="30" spans="1:23" x14ac:dyDescent="0.3">
      <c r="A30" s="5" t="s">
        <v>84</v>
      </c>
      <c r="B30" s="6" t="s">
        <v>85</v>
      </c>
      <c r="C30" s="6" t="s">
        <v>77</v>
      </c>
      <c r="D30" s="6" t="s">
        <v>86</v>
      </c>
      <c r="E30" s="7">
        <v>46461</v>
      </c>
      <c r="F30" s="7">
        <v>46488</v>
      </c>
      <c r="G30" s="8">
        <f>(F30-E30+1)/7</f>
        <v>4</v>
      </c>
      <c r="H30" s="5" t="s">
        <v>87</v>
      </c>
      <c r="I30" s="9" t="s">
        <v>40</v>
      </c>
      <c r="J30" s="11"/>
      <c r="K30" s="11"/>
      <c r="L30" s="11"/>
      <c r="M30" s="11"/>
      <c r="N30" s="11"/>
      <c r="O30" s="11"/>
      <c r="P30" s="11"/>
      <c r="Q30" s="11"/>
      <c r="R30" s="13"/>
      <c r="S30" s="11"/>
      <c r="T30" s="11"/>
      <c r="U30" s="11"/>
      <c r="V30" s="11"/>
      <c r="W30" s="11"/>
    </row>
    <row r="31" spans="1:23" x14ac:dyDescent="0.3">
      <c r="A31" s="31" t="s">
        <v>88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x14ac:dyDescent="0.3">
      <c r="A32" s="5" t="s">
        <v>89</v>
      </c>
      <c r="B32" s="6" t="s">
        <v>90</v>
      </c>
      <c r="C32" s="6" t="s">
        <v>91</v>
      </c>
      <c r="D32" s="6" t="s">
        <v>68</v>
      </c>
      <c r="E32" s="7">
        <v>46461</v>
      </c>
      <c r="F32" s="7">
        <v>46502</v>
      </c>
      <c r="G32" s="8">
        <f t="shared" ref="G32:G37" si="1">(F32-E32+1)/7</f>
        <v>6</v>
      </c>
      <c r="H32" s="5" t="s">
        <v>82</v>
      </c>
      <c r="I32" s="9" t="s">
        <v>40</v>
      </c>
      <c r="J32" s="11"/>
      <c r="K32" s="11"/>
      <c r="L32" s="11"/>
      <c r="M32" s="11"/>
      <c r="N32" s="11"/>
      <c r="O32" s="11"/>
      <c r="P32" s="11"/>
      <c r="Q32" s="11"/>
      <c r="R32" s="14"/>
      <c r="S32" s="14"/>
      <c r="T32" s="11"/>
      <c r="U32" s="11"/>
      <c r="V32" s="11"/>
      <c r="W32" s="11"/>
    </row>
    <row r="33" spans="1:23" x14ac:dyDescent="0.3">
      <c r="A33" s="5" t="s">
        <v>92</v>
      </c>
      <c r="B33" s="6" t="s">
        <v>93</v>
      </c>
      <c r="C33" s="6" t="s">
        <v>91</v>
      </c>
      <c r="D33" s="6" t="s">
        <v>68</v>
      </c>
      <c r="E33" s="7">
        <v>46468</v>
      </c>
      <c r="F33" s="7">
        <v>46502</v>
      </c>
      <c r="G33" s="8">
        <f t="shared" si="1"/>
        <v>5</v>
      </c>
      <c r="H33" s="5" t="s">
        <v>78</v>
      </c>
      <c r="I33" s="9" t="s">
        <v>40</v>
      </c>
      <c r="J33" s="11"/>
      <c r="K33" s="11"/>
      <c r="L33" s="11"/>
      <c r="M33" s="11"/>
      <c r="N33" s="11"/>
      <c r="O33" s="11"/>
      <c r="P33" s="11"/>
      <c r="Q33" s="11"/>
      <c r="R33" s="14"/>
      <c r="S33" s="14"/>
      <c r="T33" s="11"/>
      <c r="U33" s="11"/>
      <c r="V33" s="11"/>
      <c r="W33" s="11"/>
    </row>
    <row r="34" spans="1:23" x14ac:dyDescent="0.3">
      <c r="A34" s="5" t="s">
        <v>94</v>
      </c>
      <c r="B34" s="6" t="s">
        <v>95</v>
      </c>
      <c r="C34" s="6" t="s">
        <v>91</v>
      </c>
      <c r="D34" s="6" t="s">
        <v>68</v>
      </c>
      <c r="E34" s="7">
        <v>46475</v>
      </c>
      <c r="F34" s="7">
        <v>46509</v>
      </c>
      <c r="G34" s="8">
        <f t="shared" si="1"/>
        <v>5</v>
      </c>
      <c r="H34" s="5" t="s">
        <v>55</v>
      </c>
      <c r="I34" s="9" t="s">
        <v>40</v>
      </c>
      <c r="J34" s="11"/>
      <c r="K34" s="11"/>
      <c r="L34" s="11"/>
      <c r="M34" s="11"/>
      <c r="N34" s="11"/>
      <c r="O34" s="11"/>
      <c r="P34" s="11"/>
      <c r="Q34" s="11"/>
      <c r="R34" s="14"/>
      <c r="S34" s="14"/>
      <c r="T34" s="11"/>
      <c r="U34" s="11"/>
      <c r="V34" s="11"/>
      <c r="W34" s="11"/>
    </row>
    <row r="35" spans="1:23" x14ac:dyDescent="0.3">
      <c r="A35" s="5" t="s">
        <v>96</v>
      </c>
      <c r="B35" s="6" t="s">
        <v>97</v>
      </c>
      <c r="C35" s="6" t="s">
        <v>91</v>
      </c>
      <c r="D35" s="6" t="s">
        <v>68</v>
      </c>
      <c r="E35" s="7">
        <v>46489</v>
      </c>
      <c r="F35" s="7">
        <v>46516</v>
      </c>
      <c r="G35" s="8">
        <f t="shared" si="1"/>
        <v>4</v>
      </c>
      <c r="H35" s="5" t="s">
        <v>75</v>
      </c>
      <c r="I35" s="9" t="s">
        <v>40</v>
      </c>
      <c r="J35" s="11"/>
      <c r="K35" s="11"/>
      <c r="L35" s="11"/>
      <c r="M35" s="11"/>
      <c r="N35" s="11"/>
      <c r="O35" s="11"/>
      <c r="P35" s="11"/>
      <c r="Q35" s="11"/>
      <c r="R35" s="11"/>
      <c r="S35" s="14"/>
      <c r="T35" s="11"/>
      <c r="U35" s="11"/>
      <c r="V35" s="11"/>
      <c r="W35" s="11"/>
    </row>
    <row r="36" spans="1:23" x14ac:dyDescent="0.3">
      <c r="A36" s="5" t="s">
        <v>98</v>
      </c>
      <c r="B36" s="6" t="s">
        <v>99</v>
      </c>
      <c r="C36" s="6" t="s">
        <v>91</v>
      </c>
      <c r="D36" s="6" t="s">
        <v>100</v>
      </c>
      <c r="E36" s="7">
        <v>46489</v>
      </c>
      <c r="F36" s="7">
        <v>46523</v>
      </c>
      <c r="G36" s="8">
        <f t="shared" si="1"/>
        <v>5</v>
      </c>
      <c r="H36" s="5" t="s">
        <v>71</v>
      </c>
      <c r="I36" s="9" t="s">
        <v>40</v>
      </c>
      <c r="J36" s="11"/>
      <c r="K36" s="11"/>
      <c r="L36" s="11"/>
      <c r="M36" s="11"/>
      <c r="N36" s="11"/>
      <c r="O36" s="11"/>
      <c r="P36" s="11"/>
      <c r="Q36" s="11"/>
      <c r="R36" s="11"/>
      <c r="S36" s="14"/>
      <c r="T36" s="14"/>
      <c r="U36" s="11"/>
      <c r="V36" s="11"/>
      <c r="W36" s="11"/>
    </row>
    <row r="37" spans="1:23" x14ac:dyDescent="0.3">
      <c r="A37" s="5" t="s">
        <v>101</v>
      </c>
      <c r="B37" s="6" t="s">
        <v>102</v>
      </c>
      <c r="C37" s="6" t="s">
        <v>91</v>
      </c>
      <c r="D37" s="6" t="s">
        <v>68</v>
      </c>
      <c r="E37" s="7">
        <v>46517</v>
      </c>
      <c r="F37" s="7">
        <v>46530</v>
      </c>
      <c r="G37" s="8">
        <f t="shared" si="1"/>
        <v>2</v>
      </c>
      <c r="H37" s="5" t="s">
        <v>103</v>
      </c>
      <c r="I37" s="9" t="s">
        <v>40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4"/>
      <c r="U37" s="11"/>
      <c r="V37" s="11"/>
      <c r="W37" s="11"/>
    </row>
    <row r="38" spans="1:23" x14ac:dyDescent="0.3">
      <c r="A38" s="43" t="s">
        <v>104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x14ac:dyDescent="0.3">
      <c r="A39" s="5" t="s">
        <v>105</v>
      </c>
      <c r="B39" s="6" t="s">
        <v>106</v>
      </c>
      <c r="C39" s="6" t="s">
        <v>107</v>
      </c>
      <c r="D39" s="6" t="s">
        <v>108</v>
      </c>
      <c r="E39" s="7">
        <v>46524</v>
      </c>
      <c r="F39" s="7">
        <v>46558</v>
      </c>
      <c r="G39" s="8">
        <f>(F39-E39+1)/7</f>
        <v>5</v>
      </c>
      <c r="H39" s="5" t="s">
        <v>101</v>
      </c>
      <c r="I39" s="9" t="s">
        <v>40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5"/>
      <c r="U39" s="15"/>
      <c r="V39" s="11"/>
      <c r="W39" s="11"/>
    </row>
    <row r="40" spans="1:23" x14ac:dyDescent="0.3">
      <c r="A40" s="5" t="s">
        <v>109</v>
      </c>
      <c r="B40" s="6" t="s">
        <v>110</v>
      </c>
      <c r="C40" s="6" t="s">
        <v>107</v>
      </c>
      <c r="D40" s="6" t="s">
        <v>54</v>
      </c>
      <c r="E40" s="7">
        <v>46531</v>
      </c>
      <c r="F40" s="7">
        <v>46565</v>
      </c>
      <c r="G40" s="8">
        <f>(F40-E40+1)/7</f>
        <v>5</v>
      </c>
      <c r="H40" s="5" t="s">
        <v>101</v>
      </c>
      <c r="I40" s="9" t="s">
        <v>40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5"/>
      <c r="U40" s="15"/>
      <c r="V40" s="11"/>
      <c r="W40" s="11"/>
    </row>
    <row r="41" spans="1:23" x14ac:dyDescent="0.3">
      <c r="A41" s="5" t="s">
        <v>111</v>
      </c>
      <c r="B41" s="6" t="s">
        <v>112</v>
      </c>
      <c r="C41" s="6" t="s">
        <v>107</v>
      </c>
      <c r="D41" s="6" t="s">
        <v>113</v>
      </c>
      <c r="E41" s="7">
        <v>46545</v>
      </c>
      <c r="F41" s="7">
        <v>46572</v>
      </c>
      <c r="G41" s="8">
        <f>(F41-E41+1)/7</f>
        <v>4</v>
      </c>
      <c r="H41" s="5" t="s">
        <v>105</v>
      </c>
      <c r="I41" s="9" t="s">
        <v>40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</row>
    <row r="42" spans="1:23" x14ac:dyDescent="0.3">
      <c r="A42" s="5" t="s">
        <v>114</v>
      </c>
      <c r="B42" s="6" t="s">
        <v>115</v>
      </c>
      <c r="C42" s="6" t="s">
        <v>107</v>
      </c>
      <c r="D42" s="6" t="s">
        <v>68</v>
      </c>
      <c r="E42" s="7">
        <v>46559</v>
      </c>
      <c r="F42" s="7">
        <v>46586</v>
      </c>
      <c r="G42" s="8">
        <f>(F42-E42+1)/7</f>
        <v>4</v>
      </c>
      <c r="H42" s="5" t="s">
        <v>116</v>
      </c>
      <c r="I42" s="9" t="s">
        <v>40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5"/>
      <c r="W42" s="11"/>
    </row>
    <row r="43" spans="1:23" x14ac:dyDescent="0.3">
      <c r="A43" s="5" t="s">
        <v>117</v>
      </c>
      <c r="B43" s="6" t="s">
        <v>118</v>
      </c>
      <c r="C43" s="6" t="s">
        <v>107</v>
      </c>
      <c r="D43" s="6" t="s">
        <v>45</v>
      </c>
      <c r="E43" s="7">
        <v>46580</v>
      </c>
      <c r="F43" s="7">
        <v>46593</v>
      </c>
      <c r="G43" s="8">
        <f>(F43-E43+1)/7</f>
        <v>2</v>
      </c>
      <c r="H43" s="5" t="s">
        <v>114</v>
      </c>
      <c r="I43" s="9" t="s">
        <v>40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</row>
    <row r="44" spans="1:23" x14ac:dyDescent="0.3">
      <c r="A44" s="29" t="s">
        <v>119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x14ac:dyDescent="0.3">
      <c r="A45" s="5" t="s">
        <v>120</v>
      </c>
      <c r="B45" s="6" t="s">
        <v>121</v>
      </c>
      <c r="C45" s="6" t="s">
        <v>122</v>
      </c>
      <c r="D45" s="6" t="s">
        <v>68</v>
      </c>
      <c r="E45" s="7">
        <v>46587</v>
      </c>
      <c r="F45" s="7">
        <v>46607</v>
      </c>
      <c r="G45" s="8">
        <f>(F45-E45+1)/7</f>
        <v>3</v>
      </c>
      <c r="H45" s="5" t="s">
        <v>117</v>
      </c>
      <c r="I45" s="9" t="s">
        <v>40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6"/>
      <c r="W45" s="16"/>
    </row>
    <row r="46" spans="1:23" x14ac:dyDescent="0.3">
      <c r="A46" s="5" t="s">
        <v>123</v>
      </c>
      <c r="B46" s="6" t="s">
        <v>124</v>
      </c>
      <c r="C46" s="6" t="s">
        <v>122</v>
      </c>
      <c r="D46" s="6" t="s">
        <v>100</v>
      </c>
      <c r="E46" s="7">
        <v>46573</v>
      </c>
      <c r="F46" s="7">
        <v>46607</v>
      </c>
      <c r="G46" s="8">
        <f>(F46-E46+1)/7</f>
        <v>5</v>
      </c>
      <c r="H46" s="5" t="s">
        <v>109</v>
      </c>
      <c r="I46" s="9" t="s">
        <v>40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6"/>
      <c r="W46" s="16"/>
    </row>
    <row r="47" spans="1:23" x14ac:dyDescent="0.3">
      <c r="A47" s="5" t="s">
        <v>125</v>
      </c>
      <c r="B47" s="6" t="s">
        <v>126</v>
      </c>
      <c r="C47" s="6" t="s">
        <v>122</v>
      </c>
      <c r="D47" s="6" t="s">
        <v>127</v>
      </c>
      <c r="E47" s="7">
        <v>46587</v>
      </c>
      <c r="F47" s="7">
        <v>46607</v>
      </c>
      <c r="G47" s="8">
        <f>(F47-E47+1)/7</f>
        <v>3</v>
      </c>
      <c r="H47" s="5" t="s">
        <v>117</v>
      </c>
      <c r="I47" s="9" t="s">
        <v>40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6"/>
      <c r="W47" s="16"/>
    </row>
    <row r="48" spans="1:23" x14ac:dyDescent="0.3">
      <c r="A48" s="5" t="s">
        <v>128</v>
      </c>
      <c r="B48" s="6" t="s">
        <v>129</v>
      </c>
      <c r="C48" s="6" t="s">
        <v>122</v>
      </c>
      <c r="D48" s="6" t="s">
        <v>48</v>
      </c>
      <c r="E48" s="7">
        <v>46608</v>
      </c>
      <c r="F48" s="7">
        <v>46628</v>
      </c>
      <c r="G48" s="8">
        <f>(F48-E48+1)/7</f>
        <v>3</v>
      </c>
      <c r="H48" s="5" t="s">
        <v>130</v>
      </c>
      <c r="I48" s="9" t="s">
        <v>40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6"/>
    </row>
    <row r="49" spans="1:2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39" t="s">
        <v>131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7.25" customHeight="1" x14ac:dyDescent="0.3">
      <c r="A51" s="17" t="s">
        <v>132</v>
      </c>
      <c r="B51" s="33" t="s">
        <v>133</v>
      </c>
      <c r="C51" s="30"/>
      <c r="D51" s="30"/>
      <c r="E51" s="7">
        <v>46334</v>
      </c>
      <c r="F51" s="37" t="s">
        <v>134</v>
      </c>
      <c r="G51" s="30"/>
      <c r="H51" s="30"/>
      <c r="I51" s="5" t="s">
        <v>135</v>
      </c>
      <c r="J51" s="11"/>
      <c r="K51" s="11"/>
      <c r="L51" s="11"/>
      <c r="M51" s="18" t="s">
        <v>136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ht="17.25" customHeight="1" x14ac:dyDescent="0.3">
      <c r="A52" s="17" t="s">
        <v>137</v>
      </c>
      <c r="B52" s="33" t="s">
        <v>138</v>
      </c>
      <c r="C52" s="30"/>
      <c r="D52" s="30"/>
      <c r="E52" s="7">
        <v>46383</v>
      </c>
      <c r="F52" s="37" t="s">
        <v>139</v>
      </c>
      <c r="G52" s="30"/>
      <c r="H52" s="30"/>
      <c r="I52" s="5" t="s">
        <v>135</v>
      </c>
      <c r="J52" s="11"/>
      <c r="K52" s="11"/>
      <c r="L52" s="11"/>
      <c r="M52" s="11"/>
      <c r="N52" s="11"/>
      <c r="O52" s="18" t="s">
        <v>136</v>
      </c>
      <c r="P52" s="11"/>
      <c r="Q52" s="11"/>
      <c r="R52" s="11"/>
      <c r="S52" s="11"/>
      <c r="T52" s="11"/>
      <c r="U52" s="11"/>
      <c r="V52" s="11"/>
      <c r="W52" s="11"/>
    </row>
    <row r="53" spans="1:23" ht="17.25" customHeight="1" x14ac:dyDescent="0.3">
      <c r="A53" s="17" t="s">
        <v>140</v>
      </c>
      <c r="B53" s="33" t="s">
        <v>141</v>
      </c>
      <c r="C53" s="30"/>
      <c r="D53" s="30"/>
      <c r="E53" s="7">
        <v>46488</v>
      </c>
      <c r="F53" s="37" t="s">
        <v>142</v>
      </c>
      <c r="G53" s="30"/>
      <c r="H53" s="30"/>
      <c r="I53" s="5" t="s">
        <v>135</v>
      </c>
      <c r="J53" s="11"/>
      <c r="K53" s="11"/>
      <c r="L53" s="11"/>
      <c r="M53" s="11"/>
      <c r="N53" s="11"/>
      <c r="O53" s="11"/>
      <c r="P53" s="11"/>
      <c r="Q53" s="11"/>
      <c r="R53" s="18" t="s">
        <v>136</v>
      </c>
      <c r="S53" s="11"/>
      <c r="T53" s="11"/>
      <c r="U53" s="11"/>
      <c r="V53" s="11"/>
      <c r="W53" s="11"/>
    </row>
    <row r="54" spans="1:23" ht="17.25" customHeight="1" x14ac:dyDescent="0.3">
      <c r="A54" s="17" t="s">
        <v>143</v>
      </c>
      <c r="B54" s="33" t="s">
        <v>144</v>
      </c>
      <c r="C54" s="30"/>
      <c r="D54" s="30"/>
      <c r="E54" s="7">
        <v>46530</v>
      </c>
      <c r="F54" s="37" t="s">
        <v>145</v>
      </c>
      <c r="G54" s="30"/>
      <c r="H54" s="30"/>
      <c r="I54" s="5" t="s">
        <v>135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8" t="s">
        <v>136</v>
      </c>
      <c r="U54" s="11"/>
      <c r="V54" s="11"/>
      <c r="W54" s="11"/>
    </row>
    <row r="55" spans="1:23" ht="17.25" customHeight="1" x14ac:dyDescent="0.3">
      <c r="A55" s="17" t="s">
        <v>146</v>
      </c>
      <c r="B55" s="33" t="s">
        <v>147</v>
      </c>
      <c r="C55" s="30"/>
      <c r="D55" s="30"/>
      <c r="E55" s="7">
        <v>46593</v>
      </c>
      <c r="F55" s="37" t="s">
        <v>148</v>
      </c>
      <c r="G55" s="30"/>
      <c r="H55" s="30"/>
      <c r="I55" s="5" t="s">
        <v>135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8" t="s">
        <v>136</v>
      </c>
      <c r="W55" s="11"/>
    </row>
    <row r="56" spans="1:23" ht="17.25" customHeight="1" x14ac:dyDescent="0.3">
      <c r="A56" s="17" t="s">
        <v>149</v>
      </c>
      <c r="B56" s="33" t="s">
        <v>150</v>
      </c>
      <c r="C56" s="30"/>
      <c r="D56" s="30"/>
      <c r="E56" s="7">
        <v>46628</v>
      </c>
      <c r="F56" s="37" t="s">
        <v>151</v>
      </c>
      <c r="G56" s="30"/>
      <c r="H56" s="30"/>
      <c r="I56" s="5" t="s">
        <v>135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8" t="s">
        <v>136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2" t="s">
        <v>152</v>
      </c>
      <c r="B58" s="6">
        <f>COUNTA(A11:A48)-6</f>
        <v>32</v>
      </c>
      <c r="C58" s="2" t="s">
        <v>153</v>
      </c>
      <c r="D58" s="6">
        <f>COUNTA(A51:A56)</f>
        <v>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2" t="s">
        <v>154</v>
      </c>
      <c r="B59" s="19">
        <f>MIN(E11:E48)</f>
        <v>46237</v>
      </c>
      <c r="C59" s="2" t="s">
        <v>155</v>
      </c>
      <c r="D59" s="19">
        <f>MAX(F11:F48)</f>
        <v>46628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</sheetData>
  <mergeCells count="26">
    <mergeCell ref="F55:H55"/>
    <mergeCell ref="F51:H51"/>
    <mergeCell ref="A1:W1"/>
    <mergeCell ref="B7:E7"/>
    <mergeCell ref="F56:H56"/>
    <mergeCell ref="F52:H52"/>
    <mergeCell ref="A25:W25"/>
    <mergeCell ref="B55:D55"/>
    <mergeCell ref="B51:D51"/>
    <mergeCell ref="A50:W50"/>
    <mergeCell ref="A3:W3"/>
    <mergeCell ref="F53:H53"/>
    <mergeCell ref="A2:W2"/>
    <mergeCell ref="B54:D54"/>
    <mergeCell ref="F54:H54"/>
    <mergeCell ref="B8:E8"/>
    <mergeCell ref="A20:W20"/>
    <mergeCell ref="B56:D56"/>
    <mergeCell ref="A44:W44"/>
    <mergeCell ref="A31:W31"/>
    <mergeCell ref="B6:E6"/>
    <mergeCell ref="B53:D53"/>
    <mergeCell ref="B5:E5"/>
    <mergeCell ref="A11:W11"/>
    <mergeCell ref="A38:W38"/>
    <mergeCell ref="B52:D52"/>
  </mergeCells>
  <printOptions horizontalCentered="1"/>
  <pageMargins left="0.25" right="0.25" top="0.35" bottom="0.35" header="0.3" footer="0.3"/>
  <pageSetup paperSize="8" scale="77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"/>
  <sheetViews>
    <sheetView workbookViewId="0"/>
  </sheetViews>
  <sheetFormatPr defaultColWidth="8.6640625" defaultRowHeight="14.4" x14ac:dyDescent="0.3"/>
  <cols>
    <col min="1" max="1" width="26" customWidth="1"/>
    <col min="2" max="2" width="62" customWidth="1"/>
  </cols>
  <sheetData>
    <row r="1" spans="1:8" ht="15.45" customHeight="1" x14ac:dyDescent="0.3">
      <c r="A1" s="44" t="s">
        <v>156</v>
      </c>
      <c r="B1" s="36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54" customHeight="1" x14ac:dyDescent="0.3">
      <c r="A3" s="20" t="s">
        <v>157</v>
      </c>
      <c r="B3" s="21" t="s">
        <v>158</v>
      </c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ht="72" customHeight="1" x14ac:dyDescent="0.3">
      <c r="A5" s="20" t="s">
        <v>159</v>
      </c>
      <c r="B5" s="21" t="s">
        <v>160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22" t="s">
        <v>161</v>
      </c>
      <c r="B7" s="1"/>
      <c r="C7" s="1"/>
      <c r="D7" s="1"/>
      <c r="E7" s="1"/>
      <c r="F7" s="1"/>
      <c r="G7" s="1"/>
      <c r="H7" s="1"/>
    </row>
    <row r="8" spans="1:8" x14ac:dyDescent="0.3">
      <c r="A8" s="23"/>
      <c r="B8" s="21" t="s">
        <v>35</v>
      </c>
      <c r="C8" s="1"/>
      <c r="D8" s="1"/>
      <c r="E8" s="1"/>
      <c r="F8" s="1"/>
      <c r="G8" s="1"/>
      <c r="H8" s="1"/>
    </row>
    <row r="9" spans="1:8" x14ac:dyDescent="0.3">
      <c r="A9" s="24"/>
      <c r="B9" s="21" t="s">
        <v>61</v>
      </c>
      <c r="C9" s="1"/>
      <c r="D9" s="1"/>
      <c r="E9" s="1"/>
      <c r="F9" s="1"/>
      <c r="G9" s="1"/>
      <c r="H9" s="1"/>
    </row>
    <row r="10" spans="1:8" x14ac:dyDescent="0.3">
      <c r="A10" s="25"/>
      <c r="B10" s="21" t="s">
        <v>74</v>
      </c>
      <c r="C10" s="1"/>
      <c r="D10" s="1"/>
      <c r="E10" s="1"/>
      <c r="F10" s="1"/>
      <c r="G10" s="1"/>
      <c r="H10" s="1"/>
    </row>
    <row r="11" spans="1:8" x14ac:dyDescent="0.3">
      <c r="A11" s="26"/>
      <c r="B11" s="21" t="s">
        <v>88</v>
      </c>
      <c r="C11" s="1"/>
      <c r="D11" s="1"/>
      <c r="E11" s="1"/>
      <c r="F11" s="1"/>
      <c r="G11" s="1"/>
      <c r="H11" s="1"/>
    </row>
    <row r="12" spans="1:8" x14ac:dyDescent="0.3">
      <c r="A12" s="27"/>
      <c r="B12" s="21" t="s">
        <v>104</v>
      </c>
      <c r="C12" s="1"/>
      <c r="D12" s="1"/>
      <c r="E12" s="1"/>
      <c r="F12" s="1"/>
      <c r="G12" s="1"/>
      <c r="H12" s="1"/>
    </row>
    <row r="13" spans="1:8" x14ac:dyDescent="0.3">
      <c r="A13" s="28"/>
      <c r="B13" s="21" t="s">
        <v>119</v>
      </c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ht="36" customHeight="1" x14ac:dyDescent="0.3">
      <c r="A15" s="20" t="s">
        <v>162</v>
      </c>
      <c r="B15" s="21" t="s">
        <v>163</v>
      </c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ht="78" customHeight="1" x14ac:dyDescent="0.3">
      <c r="A17" s="20" t="s">
        <v>164</v>
      </c>
      <c r="B17" s="21" t="s">
        <v>165</v>
      </c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</sheetData>
  <mergeCells count="1">
    <mergeCell ref="A1:B1"/>
  </mergeCells>
  <printOptions horizontalCentered="1"/>
  <pageMargins left="0.25" right="0.25" top="0.35" bottom="0.3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Gantt Chart</vt:lpstr>
      <vt:lpstr>Notes &amp; Legend</vt:lpstr>
      <vt:lpstr>'Gantt Chart'!Print_Area</vt:lpstr>
      <vt:lpstr>'Notes &amp; Legend'!Print_Area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Tankhun Luengchaicharn</cp:lastModifiedBy>
  <dcterms:modified xsi:type="dcterms:W3CDTF">2026-10-12T05:23:28Z</dcterms:modified>
</cp:coreProperties>
</file>